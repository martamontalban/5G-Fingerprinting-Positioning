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ricsson-my.sharepoint.com/personal/marta_montalban_ericsson_com/Documents/Documents/Marta - TFM Teleco/TFM-5G-Fingerprinting/results/"/>
    </mc:Choice>
  </mc:AlternateContent>
  <xr:revisionPtr revIDLastSave="70" documentId="8_{0C63C9DE-7E34-429D-9ADA-710AC01A8B0C}" xr6:coauthVersionLast="47" xr6:coauthVersionMax="47" xr10:uidLastSave="{5805E480-FD1A-42FD-BACE-2F0F5FDFE9D4}"/>
  <bookViews>
    <workbookView xWindow="-96" yWindow="-96" windowWidth="23232" windowHeight="12432" xr2:uid="{2F9DC14A-C8DA-4049-9EDC-FFC3F29DE46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11" i="1" l="1"/>
  <c r="E11" i="1"/>
  <c r="D11" i="1"/>
  <c r="C11" i="1"/>
  <c r="F44" i="1"/>
  <c r="E44" i="1"/>
  <c r="D44" i="1"/>
  <c r="C44" i="1"/>
  <c r="F33" i="1"/>
  <c r="E33" i="1"/>
  <c r="D33" i="1"/>
  <c r="C33" i="1"/>
  <c r="F22" i="1"/>
  <c r="E22" i="1"/>
  <c r="D22" i="1"/>
  <c r="C22" i="1"/>
</calcChain>
</file>

<file path=xl/sharedStrings.xml><?xml version="1.0" encoding="utf-8"?>
<sst xmlns="http://schemas.openxmlformats.org/spreadsheetml/2006/main" count="29" uniqueCount="11">
  <si>
    <t>LOS</t>
  </si>
  <si>
    <t>NLOS1</t>
  </si>
  <si>
    <t>NLOS2</t>
  </si>
  <si>
    <t>NLOS6</t>
  </si>
  <si>
    <t>mean</t>
  </si>
  <si>
    <t>REGULAR SCENARIO METHOD 1</t>
  </si>
  <si>
    <t>K</t>
  </si>
  <si>
    <t>REGULAR SCENARIO METHOD 2</t>
  </si>
  <si>
    <t>IREGULAR SCENARIO METHOD 1</t>
  </si>
  <si>
    <t>IREGULAR SCENARIO METHOD 2</t>
  </si>
  <si>
    <t>ESTIMATION ERRORS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</si>
</sst>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1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9" xfId="0" applyBorder="1"/>
    <xf numFmtId="0" fontId="0" fillId="0" borderId="1" xfId="0" applyFont="1" applyBorder="1"/>
    <xf numFmtId="0" fontId="0" fillId="4" borderId="1" xfId="0" applyFont="1" applyFill="1" applyBorder="1"/>
    <xf numFmtId="0" fontId="0" fillId="2" borderId="1" xfId="0" applyFont="1" applyFill="1" applyBorder="1"/>
    <xf numFmtId="0" fontId="0" fillId="3" borderId="1" xfId="0" applyFont="1" applyFill="1" applyBorder="1"/>
    <xf numFmtId="0" fontId="0" fillId="0" borderId="2" xfId="0" applyFont="1" applyBorder="1"/>
    <xf numFmtId="0" fontId="1" fillId="0" borderId="1" xfId="0" applyFont="1" applyBorder="1"/>
    <xf numFmtId="0" fontId="1" fillId="0" borderId="8" xfId="0" applyFont="1" applyBorder="1"/>
    <xf numFmtId="0" fontId="0" fillId="0" borderId="0" xfId="0" applyBorder="1"/>
    <xf numFmtId="0" fontId="1" fillId="0" borderId="0" xfId="0" applyFont="1" applyBorder="1"/>
    <xf numFmtId="0" fontId="1" fillId="0" borderId="0" xfId="0" applyFont="1"/>
    <xf numFmtId="0" fontId="0" fillId="4" borderId="7" xfId="0" applyFont="1" applyFill="1" applyBorder="1"/>
    <xf numFmtId="0" fontId="0" fillId="0" borderId="7" xfId="0" applyFont="1" applyBorder="1"/>
    <xf numFmtId="0" fontId="0" fillId="0" borderId="5" xfId="0" applyFont="1" applyBorder="1"/>
    <xf numFmtId="0" fontId="0" fillId="2" borderId="5" xfId="0" applyFont="1" applyFill="1" applyBorder="1"/>
    <xf numFmtId="0" fontId="0" fillId="3" borderId="5" xfId="0" applyFont="1" applyFill="1" applyBorder="1"/>
    <xf numFmtId="0" fontId="0" fillId="4" borderId="5" xfId="0" applyFont="1" applyFill="1" applyBorder="1"/>
    <xf numFmtId="0" fontId="0" fillId="0" borderId="10" xfId="0" applyFont="1" applyBorder="1" applyAlignment="1"/>
    <xf numFmtId="0" fontId="0" fillId="0" borderId="11" xfId="0" applyFont="1" applyBorder="1"/>
    <xf numFmtId="0" fontId="0" fillId="0" borderId="4" xfId="0" applyFont="1" applyBorder="1"/>
    <xf numFmtId="0" fontId="0" fillId="0" borderId="3" xfId="0" applyFont="1" applyBorder="1"/>
    <xf numFmtId="0" fontId="0" fillId="0" borderId="6" xfId="0" applyFont="1" applyBorder="1"/>
    <xf numFmtId="0" fontId="1" fillId="0" borderId="7" xfId="0" applyFont="1" applyBorder="1"/>
    <xf numFmtId="0" fontId="1" fillId="0" borderId="5" xfId="0" applyFont="1" applyBorder="1"/>
  </cellXfs>
  <cellStyles count="1">
    <cellStyle name="Normal" xfId="0" builtinId="0"/>
  </cellStyles>
  <dxfs count="39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92F21A3-5144-4B57-9F28-AB901954CBA5}" name="Table1" displayName="Table1" ref="B3:F11" totalsRowShown="0" headerRowDxfId="29" dataDxfId="30" headerRowBorderDxfId="37" tableBorderDxfId="38" totalsRowBorderDxfId="36">
  <autoFilter ref="B3:F11" xr:uid="{092F21A3-5144-4B57-9F28-AB901954CBA5}"/>
  <tableColumns count="5">
    <tableColumn id="1" xr3:uid="{9AF2F60F-D509-465E-926D-304A94555DF1}" name="K" dataDxfId="35"/>
    <tableColumn id="2" xr3:uid="{89324961-8744-475C-A1EF-EB8FF8CFB926}" name="LOS" dataDxfId="34"/>
    <tableColumn id="3" xr3:uid="{8613A632-3830-4435-B772-16A3CBC1F3E9}" name="NLOS1" dataDxfId="33"/>
    <tableColumn id="4" xr3:uid="{2B3FC878-ED7F-4E68-9A5B-71373ED9BEA5}" name="NLOS2" dataDxfId="32"/>
    <tableColumn id="5" xr3:uid="{5F0842FE-4BB4-4EE9-A021-A88105B67DC9}" name="NLOS6" dataDxfId="31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1732885-D8D5-405D-A967-C6B3C1547CB5}" name="Table2" displayName="Table2" ref="B14:F22" totalsRowShown="0" headerRowDxfId="19" dataDxfId="20" headerRowBorderDxfId="27" tableBorderDxfId="28" totalsRowBorderDxfId="26">
  <autoFilter ref="B14:F22" xr:uid="{61732885-D8D5-405D-A967-C6B3C1547CB5}"/>
  <tableColumns count="5">
    <tableColumn id="1" xr3:uid="{594D0C4A-E4A5-4FC5-A96A-AC03818CC265}" name="K" dataDxfId="25"/>
    <tableColumn id="2" xr3:uid="{EB732623-43DD-465D-93C9-3BC4AC32F9C5}" name="LOS" dataDxfId="24"/>
    <tableColumn id="3" xr3:uid="{F3B24BE7-D948-4120-95B3-4F73141F53E0}" name="NLOS1" dataDxfId="23"/>
    <tableColumn id="4" xr3:uid="{B80735BE-3713-41D8-8FFA-6FF8E14AACA0}" name="NLOS2" dataDxfId="22"/>
    <tableColumn id="5" xr3:uid="{A7B1638B-2E06-4C41-A80C-B6769A6C05F4}" name="NLOS6" dataDxfId="21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540FD19-D735-473F-8791-638ED6403E43}" name="Table3" displayName="Table3" ref="B25:F33" totalsRowShown="0" headerRowDxfId="10" dataDxfId="11" headerRowBorderDxfId="17" tableBorderDxfId="18" totalsRowBorderDxfId="16">
  <autoFilter ref="B25:F33" xr:uid="{A540FD19-D735-473F-8791-638ED6403E43}"/>
  <tableColumns count="5">
    <tableColumn id="1" xr3:uid="{5F2635BA-25DA-4838-99B3-9DA240C0B64B}" name="K" dataDxfId="15"/>
    <tableColumn id="2" xr3:uid="{9BB685E2-5B5D-47CA-A697-F9C1CB69229D}" name="LOS" dataDxfId="14"/>
    <tableColumn id="3" xr3:uid="{C187F48C-C22D-42A0-8B1F-31A1D96BC794}" name="NLOS1" dataDxfId="13"/>
    <tableColumn id="4" xr3:uid="{54AE2311-4D57-425C-9696-A76741B48B46}" name="NLOS2" dataDxfId="12"/>
    <tableColumn id="5" xr3:uid="{8C6E30A4-FB80-4A53-A632-9F13100D9127}" name="NLOS6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D43828F-424A-4ECD-A826-835D51FC8036}" name="Table4" displayName="Table4" ref="B36:F44" totalsRowShown="0" headerRowDxfId="0" dataDxfId="1" headerRowBorderDxfId="8" tableBorderDxfId="9" totalsRowBorderDxfId="7">
  <autoFilter ref="B36:F44" xr:uid="{BD43828F-424A-4ECD-A826-835D51FC8036}"/>
  <tableColumns count="5">
    <tableColumn id="1" xr3:uid="{CC7E630F-C092-4E00-8A7D-463E54F51A26}" name="K" dataDxfId="6"/>
    <tableColumn id="2" xr3:uid="{AAB0A3EF-CEA1-425F-B58D-4634EA9B10A0}" name="LOS" dataDxfId="5"/>
    <tableColumn id="3" xr3:uid="{4F33B0C1-E1AB-4DF6-B02F-1A1F534E4BC3}" name="NLOS1" dataDxfId="4"/>
    <tableColumn id="4" xr3:uid="{6E56D51B-043B-41F2-9871-5CDB90044503}" name="NLOS2" dataDxfId="3"/>
    <tableColumn id="5" xr3:uid="{ABA1EEA4-4DBD-4EDC-BD8E-5918D48950D1}" name="NLOS6" dataDxfId="2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1EBB8-3A2C-4B71-B5F7-47096C28AEA6}">
  <dimension ref="A1:G46"/>
  <sheetViews>
    <sheetView tabSelected="1" topLeftCell="A4" zoomScale="64" workbookViewId="0">
      <selection activeCell="J29" sqref="J29"/>
    </sheetView>
  </sheetViews>
  <sheetFormatPr defaultColWidth="10.9453125" defaultRowHeight="14.4" x14ac:dyDescent="0.55000000000000004"/>
  <cols>
    <col min="1" max="1" width="29.5234375" customWidth="1"/>
  </cols>
  <sheetData>
    <row r="1" spans="1:6" x14ac:dyDescent="0.55000000000000004">
      <c r="A1" s="10" t="s">
        <v>10</v>
      </c>
      <c r="B1" s="9"/>
      <c r="C1" s="9"/>
      <c r="D1" s="9"/>
      <c r="E1" s="9"/>
      <c r="F1" s="9"/>
    </row>
    <row r="2" spans="1:6" x14ac:dyDescent="0.55000000000000004">
      <c r="A2" s="11" t="s">
        <v>5</v>
      </c>
    </row>
    <row r="3" spans="1:6" x14ac:dyDescent="0.55000000000000004">
      <c r="B3" s="18" t="s">
        <v>6</v>
      </c>
      <c r="C3" s="6" t="s">
        <v>0</v>
      </c>
      <c r="D3" s="6" t="s">
        <v>1</v>
      </c>
      <c r="E3" s="6" t="s">
        <v>2</v>
      </c>
      <c r="F3" s="19" t="s">
        <v>3</v>
      </c>
    </row>
    <row r="4" spans="1:6" x14ac:dyDescent="0.55000000000000004">
      <c r="B4" s="12">
        <v>1</v>
      </c>
      <c r="C4" s="3">
        <v>1.63</v>
      </c>
      <c r="D4" s="3">
        <v>1.47</v>
      </c>
      <c r="E4" s="3">
        <v>2.74</v>
      </c>
      <c r="F4" s="15">
        <v>4.07</v>
      </c>
    </row>
    <row r="5" spans="1:6" x14ac:dyDescent="0.55000000000000004">
      <c r="B5" s="13">
        <v>3</v>
      </c>
      <c r="C5" s="2">
        <v>1.36</v>
      </c>
      <c r="D5" s="5">
        <v>1.23</v>
      </c>
      <c r="E5" s="5">
        <v>2.1800000000000002</v>
      </c>
      <c r="F5" s="16">
        <v>3.53</v>
      </c>
    </row>
    <row r="6" spans="1:6" x14ac:dyDescent="0.55000000000000004">
      <c r="B6" s="12">
        <v>5</v>
      </c>
      <c r="C6" s="5">
        <v>1.1399999999999999</v>
      </c>
      <c r="D6" s="3">
        <v>1.62</v>
      </c>
      <c r="E6" s="3">
        <v>2.7</v>
      </c>
      <c r="F6" s="17">
        <v>3.68</v>
      </c>
    </row>
    <row r="7" spans="1:6" x14ac:dyDescent="0.55000000000000004">
      <c r="B7" s="13">
        <v>7</v>
      </c>
      <c r="C7" s="2">
        <v>1.17</v>
      </c>
      <c r="D7" s="2">
        <v>1.85</v>
      </c>
      <c r="E7" s="2">
        <v>2.72</v>
      </c>
      <c r="F7" s="14">
        <v>3.8</v>
      </c>
    </row>
    <row r="8" spans="1:6" x14ac:dyDescent="0.55000000000000004">
      <c r="B8" s="12">
        <v>9</v>
      </c>
      <c r="C8" s="3">
        <v>1.37</v>
      </c>
      <c r="D8" s="3">
        <v>2.13</v>
      </c>
      <c r="E8" s="3">
        <v>2.91</v>
      </c>
      <c r="F8" s="17">
        <v>3.84</v>
      </c>
    </row>
    <row r="9" spans="1:6" x14ac:dyDescent="0.55000000000000004">
      <c r="B9" s="13">
        <v>11</v>
      </c>
      <c r="C9" s="2">
        <v>1.57</v>
      </c>
      <c r="D9" s="2">
        <v>2.39</v>
      </c>
      <c r="E9" s="2">
        <v>3.14</v>
      </c>
      <c r="F9" s="14">
        <v>3.88</v>
      </c>
    </row>
    <row r="10" spans="1:6" x14ac:dyDescent="0.55000000000000004">
      <c r="B10" s="12">
        <v>13</v>
      </c>
      <c r="C10" s="4">
        <v>1.73</v>
      </c>
      <c r="D10" s="4">
        <v>2.67</v>
      </c>
      <c r="E10" s="4">
        <v>3.29</v>
      </c>
      <c r="F10" s="17">
        <v>3.97</v>
      </c>
    </row>
    <row r="11" spans="1:6" x14ac:dyDescent="0.55000000000000004">
      <c r="B11" s="20" t="s">
        <v>4</v>
      </c>
      <c r="C11" s="21">
        <f>(C4+C5+C6+C7+C8+C9+C10)/7</f>
        <v>1.4242857142857144</v>
      </c>
      <c r="D11" s="21">
        <f>(D4+D5+D6+D7+D8+D9+D10)/7</f>
        <v>1.9085714285714288</v>
      </c>
      <c r="E11" s="21">
        <f>(E4+E5+E6+E7+E8+E9+E10)/7</f>
        <v>2.8114285714285714</v>
      </c>
      <c r="F11" s="22">
        <f>(F4+F5+F6+F7+F8+F9+F10)/7</f>
        <v>3.8242857142857138</v>
      </c>
    </row>
    <row r="13" spans="1:6" x14ac:dyDescent="0.55000000000000004">
      <c r="A13" s="11" t="s">
        <v>7</v>
      </c>
    </row>
    <row r="14" spans="1:6" x14ac:dyDescent="0.55000000000000004">
      <c r="B14" s="13" t="s">
        <v>6</v>
      </c>
      <c r="C14" s="6" t="s">
        <v>0</v>
      </c>
      <c r="D14" s="2" t="s">
        <v>1</v>
      </c>
      <c r="E14" s="2" t="s">
        <v>2</v>
      </c>
      <c r="F14" s="14" t="s">
        <v>3</v>
      </c>
    </row>
    <row r="15" spans="1:6" x14ac:dyDescent="0.55000000000000004">
      <c r="B15" s="12">
        <v>1</v>
      </c>
      <c r="C15" s="3">
        <v>1.58</v>
      </c>
      <c r="D15" s="3">
        <v>1.57</v>
      </c>
      <c r="E15" s="5">
        <v>2.48</v>
      </c>
      <c r="F15" s="17">
        <v>3.69</v>
      </c>
    </row>
    <row r="16" spans="1:6" x14ac:dyDescent="0.55000000000000004">
      <c r="B16" s="13">
        <v>3</v>
      </c>
      <c r="C16" s="2">
        <v>1.37</v>
      </c>
      <c r="D16" s="5">
        <v>1.52</v>
      </c>
      <c r="E16" s="2">
        <v>2.52</v>
      </c>
      <c r="F16" s="14">
        <v>3.31</v>
      </c>
    </row>
    <row r="17" spans="1:6" x14ac:dyDescent="0.55000000000000004">
      <c r="B17" s="12">
        <v>5</v>
      </c>
      <c r="C17" s="5">
        <v>1.28</v>
      </c>
      <c r="D17" s="3">
        <v>1.83</v>
      </c>
      <c r="E17" s="3">
        <v>2.83</v>
      </c>
      <c r="F17" s="16">
        <v>3.23</v>
      </c>
    </row>
    <row r="18" spans="1:6" x14ac:dyDescent="0.55000000000000004">
      <c r="B18" s="13">
        <v>7</v>
      </c>
      <c r="C18" s="2">
        <v>1.33</v>
      </c>
      <c r="D18" s="2">
        <v>2.13</v>
      </c>
      <c r="E18" s="2">
        <v>3.03</v>
      </c>
      <c r="F18" s="14">
        <v>3.5</v>
      </c>
    </row>
    <row r="19" spans="1:6" x14ac:dyDescent="0.55000000000000004">
      <c r="B19" s="12">
        <v>9</v>
      </c>
      <c r="C19" s="3">
        <v>1.38</v>
      </c>
      <c r="D19" s="3">
        <v>2.41</v>
      </c>
      <c r="E19" s="3">
        <v>2.97</v>
      </c>
      <c r="F19" s="17">
        <v>3.73</v>
      </c>
    </row>
    <row r="20" spans="1:6" x14ac:dyDescent="0.55000000000000004">
      <c r="B20" s="13">
        <v>11</v>
      </c>
      <c r="C20" s="2">
        <v>1.52</v>
      </c>
      <c r="D20" s="2">
        <v>2.64</v>
      </c>
      <c r="E20" s="2">
        <v>3.07</v>
      </c>
      <c r="F20" s="14">
        <v>3.83</v>
      </c>
    </row>
    <row r="21" spans="1:6" x14ac:dyDescent="0.55000000000000004">
      <c r="B21" s="12">
        <v>13</v>
      </c>
      <c r="C21" s="4">
        <v>1.67</v>
      </c>
      <c r="D21" s="4">
        <v>2.87</v>
      </c>
      <c r="E21" s="4">
        <v>3.19</v>
      </c>
      <c r="F21" s="15">
        <v>4.04</v>
      </c>
    </row>
    <row r="22" spans="1:6" x14ac:dyDescent="0.55000000000000004">
      <c r="B22" s="20" t="s">
        <v>4</v>
      </c>
      <c r="C22" s="21">
        <f>(C15+C16+C17+C18+C19+C20+C21)/7</f>
        <v>1.4471428571428573</v>
      </c>
      <c r="D22" s="21">
        <f>(D15+D16+D17+D18+D19+D20+D21)/7</f>
        <v>2.1385714285714288</v>
      </c>
      <c r="E22" s="21">
        <f>(E15+E16+E17+E18+E19+E20+E21)/7</f>
        <v>2.87</v>
      </c>
      <c r="F22" s="22">
        <f>(F15+F16+F17+F18+F19+F20+F21)/7</f>
        <v>3.6185714285714283</v>
      </c>
    </row>
    <row r="23" spans="1:6" x14ac:dyDescent="0.55000000000000004">
      <c r="A23" s="1"/>
    </row>
    <row r="24" spans="1:6" x14ac:dyDescent="0.55000000000000004">
      <c r="A24" s="11" t="s">
        <v>8</v>
      </c>
    </row>
    <row r="25" spans="1:6" x14ac:dyDescent="0.55000000000000004">
      <c r="B25" s="13" t="s">
        <v>6</v>
      </c>
      <c r="C25" s="6" t="s">
        <v>0</v>
      </c>
      <c r="D25" s="2" t="s">
        <v>1</v>
      </c>
      <c r="E25" s="2" t="s">
        <v>2</v>
      </c>
      <c r="F25" s="14" t="s">
        <v>3</v>
      </c>
    </row>
    <row r="26" spans="1:6" x14ac:dyDescent="0.55000000000000004">
      <c r="B26" s="12">
        <v>1</v>
      </c>
      <c r="C26" s="4">
        <v>27.07</v>
      </c>
      <c r="D26" s="4">
        <v>18.66</v>
      </c>
      <c r="E26" s="4">
        <v>8.57</v>
      </c>
      <c r="F26" s="15">
        <v>11.96</v>
      </c>
    </row>
    <row r="27" spans="1:6" x14ac:dyDescent="0.55000000000000004">
      <c r="B27" s="13">
        <v>3</v>
      </c>
      <c r="C27" s="2">
        <v>25.34</v>
      </c>
      <c r="D27" s="2">
        <v>15.88</v>
      </c>
      <c r="E27" s="2">
        <v>6.91</v>
      </c>
      <c r="F27" s="14">
        <v>9.93</v>
      </c>
    </row>
    <row r="28" spans="1:6" x14ac:dyDescent="0.55000000000000004">
      <c r="B28" s="12">
        <v>5</v>
      </c>
      <c r="C28" s="3">
        <v>23.89</v>
      </c>
      <c r="D28" s="3">
        <v>16.04</v>
      </c>
      <c r="E28" s="5">
        <v>6.76</v>
      </c>
      <c r="F28" s="17">
        <v>9.74</v>
      </c>
    </row>
    <row r="29" spans="1:6" x14ac:dyDescent="0.55000000000000004">
      <c r="B29" s="13">
        <v>7</v>
      </c>
      <c r="C29" s="2">
        <v>22.35</v>
      </c>
      <c r="D29" s="2">
        <v>15.76</v>
      </c>
      <c r="E29" s="2">
        <v>7.42</v>
      </c>
      <c r="F29" s="14">
        <v>9.49</v>
      </c>
    </row>
    <row r="30" spans="1:6" x14ac:dyDescent="0.55000000000000004">
      <c r="B30" s="12">
        <v>9</v>
      </c>
      <c r="C30" s="3">
        <v>20.83</v>
      </c>
      <c r="D30" s="3">
        <v>15.28</v>
      </c>
      <c r="E30" s="3">
        <v>7.71</v>
      </c>
      <c r="F30" s="17">
        <v>9.52</v>
      </c>
    </row>
    <row r="31" spans="1:6" x14ac:dyDescent="0.55000000000000004">
      <c r="B31" s="13">
        <v>11</v>
      </c>
      <c r="C31" s="2">
        <v>19.899999999999999</v>
      </c>
      <c r="D31" s="2">
        <v>15.51</v>
      </c>
      <c r="E31" s="2">
        <v>7.97</v>
      </c>
      <c r="F31" s="16">
        <v>9.4600000000000009</v>
      </c>
    </row>
    <row r="32" spans="1:6" x14ac:dyDescent="0.55000000000000004">
      <c r="B32" s="12">
        <v>13</v>
      </c>
      <c r="C32" s="5">
        <v>19.32</v>
      </c>
      <c r="D32" s="5">
        <v>14.92</v>
      </c>
      <c r="E32" s="3">
        <v>8.4</v>
      </c>
      <c r="F32" s="17">
        <v>9.5299999999999994</v>
      </c>
    </row>
    <row r="33" spans="1:7" x14ac:dyDescent="0.55000000000000004">
      <c r="B33" s="20" t="s">
        <v>4</v>
      </c>
      <c r="C33" s="21">
        <f>(C26+C27+C28+C29+C30+C31+C32)/7</f>
        <v>22.671428571428571</v>
      </c>
      <c r="D33" s="21">
        <f>(D26+D27+D28+D29+D30+D31+D32)/7</f>
        <v>16.00714285714286</v>
      </c>
      <c r="E33" s="21">
        <f>(E26+E27+E28+E29+E30+E31+E32)/7</f>
        <v>7.677142857142857</v>
      </c>
      <c r="F33" s="22">
        <f>(F26+F27+F28+F29+F30+F31+F32)/7</f>
        <v>9.9471428571428557</v>
      </c>
    </row>
    <row r="35" spans="1:7" x14ac:dyDescent="0.55000000000000004">
      <c r="A35" s="11" t="s">
        <v>9</v>
      </c>
    </row>
    <row r="36" spans="1:7" x14ac:dyDescent="0.55000000000000004">
      <c r="B36" s="23" t="s">
        <v>6</v>
      </c>
      <c r="C36" s="8" t="s">
        <v>0</v>
      </c>
      <c r="D36" s="7" t="s">
        <v>1</v>
      </c>
      <c r="E36" s="7" t="s">
        <v>2</v>
      </c>
      <c r="F36" s="24" t="s">
        <v>3</v>
      </c>
    </row>
    <row r="37" spans="1:7" x14ac:dyDescent="0.55000000000000004">
      <c r="B37" s="12">
        <v>1</v>
      </c>
      <c r="C37" s="4">
        <v>27.07</v>
      </c>
      <c r="D37" s="4">
        <v>19.39</v>
      </c>
      <c r="E37" s="3">
        <v>6.67</v>
      </c>
      <c r="F37" s="16">
        <v>5.72</v>
      </c>
    </row>
    <row r="38" spans="1:7" x14ac:dyDescent="0.55000000000000004">
      <c r="B38" s="13">
        <v>3</v>
      </c>
      <c r="C38" s="2">
        <v>25.32</v>
      </c>
      <c r="D38" s="2">
        <v>16.95</v>
      </c>
      <c r="E38" s="5">
        <v>5.62</v>
      </c>
      <c r="F38" s="14">
        <v>5.84</v>
      </c>
    </row>
    <row r="39" spans="1:7" x14ac:dyDescent="0.55000000000000004">
      <c r="B39" s="12">
        <v>5</v>
      </c>
      <c r="C39" s="3">
        <v>23.92</v>
      </c>
      <c r="D39" s="3">
        <v>17.16</v>
      </c>
      <c r="E39" s="3">
        <v>6.17</v>
      </c>
      <c r="F39" s="17">
        <v>6.08</v>
      </c>
    </row>
    <row r="40" spans="1:7" x14ac:dyDescent="0.55000000000000004">
      <c r="B40" s="13">
        <v>7</v>
      </c>
      <c r="C40" s="2">
        <v>22.46</v>
      </c>
      <c r="D40" s="2">
        <v>16.96</v>
      </c>
      <c r="E40" s="2">
        <v>6.4</v>
      </c>
      <c r="F40" s="14">
        <v>6.36</v>
      </c>
    </row>
    <row r="41" spans="1:7" x14ac:dyDescent="0.55000000000000004">
      <c r="B41" s="12">
        <v>9</v>
      </c>
      <c r="C41" s="3">
        <v>20.98</v>
      </c>
      <c r="D41" s="3">
        <v>16.57</v>
      </c>
      <c r="E41" s="3">
        <v>7.04</v>
      </c>
      <c r="F41" s="17">
        <v>6.69</v>
      </c>
    </row>
    <row r="42" spans="1:7" x14ac:dyDescent="0.55000000000000004">
      <c r="B42" s="13">
        <v>11</v>
      </c>
      <c r="C42" s="2">
        <v>20.05</v>
      </c>
      <c r="D42" s="2">
        <v>16.55</v>
      </c>
      <c r="E42" s="2">
        <v>7.4</v>
      </c>
      <c r="F42" s="14">
        <v>6.85</v>
      </c>
    </row>
    <row r="43" spans="1:7" x14ac:dyDescent="0.55000000000000004">
      <c r="B43" s="12">
        <v>13</v>
      </c>
      <c r="C43" s="5">
        <v>19.34</v>
      </c>
      <c r="D43" s="5">
        <v>15.79</v>
      </c>
      <c r="E43" s="4">
        <v>7.6</v>
      </c>
      <c r="F43" s="15">
        <v>6.86</v>
      </c>
    </row>
    <row r="44" spans="1:7" x14ac:dyDescent="0.55000000000000004">
      <c r="B44" s="20" t="s">
        <v>4</v>
      </c>
      <c r="C44" s="21">
        <f>(C37+C38+C39+C40+C41+C42+C43)/7</f>
        <v>22.734285714285715</v>
      </c>
      <c r="D44" s="21">
        <f>(D37+D38+D39+D40+D41+D42+D43)/7</f>
        <v>17.052857142857142</v>
      </c>
      <c r="E44" s="21">
        <f>(E37+E38+E39+E40+E41+E42+E43)/7</f>
        <v>6.7</v>
      </c>
      <c r="F44" s="22">
        <f>(F37+F38+F39+F40+F41+F42+F43)/7</f>
        <v>6.3428571428571425</v>
      </c>
    </row>
    <row r="45" spans="1:7" x14ac:dyDescent="0.55000000000000004">
      <c r="A45" s="9"/>
      <c r="B45" s="9"/>
      <c r="C45" s="9"/>
      <c r="D45" s="9"/>
      <c r="E45" s="9"/>
      <c r="F45" s="9"/>
    </row>
    <row r="46" spans="1:7" x14ac:dyDescent="0.55000000000000004">
      <c r="A46" s="9"/>
      <c r="B46" s="9"/>
      <c r="C46" s="9"/>
      <c r="D46" s="9"/>
      <c r="E46" s="9"/>
      <c r="F46" s="9"/>
      <c r="G46" s="1"/>
    </row>
  </sheetData>
  <phoneticPr fontId="2" type="noConversion"/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docMetadata/LabelInfo.xml><?xml version="1.0" encoding="utf-8"?>
<clbl:labelList xmlns:clbl="http://schemas.microsoft.com/office/2020/mipLabelMetadata">
  <clbl:label id="{92e84ceb-fbfd-47ab-be52-080c6b87953f}" enabled="0" method="" siteId="{92e84ceb-fbfd-47ab-be52-080c6b87953f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Marta Montalbán Luquero</dc:creator>
  <cp:lastModifiedBy>Marta Montalban</cp:lastModifiedBy>
  <dcterms:created xsi:type="dcterms:W3CDTF">2026-06-17T00:33:41Z</dcterms:created>
  <dcterms:modified xsi:type="dcterms:W3CDTF">2026-06-17T19:14:35Z</dcterms:modified>
</cp:coreProperties>
</file>